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centaje de Avances" sheetId="1" r:id="rId4"/>
  </sheets>
  <definedNames/>
  <calcPr/>
</workbook>
</file>

<file path=xl/sharedStrings.xml><?xml version="1.0" encoding="utf-8"?>
<sst xmlns="http://schemas.openxmlformats.org/spreadsheetml/2006/main" count="45" uniqueCount="45">
  <si>
    <t>Analista</t>
  </si>
  <si>
    <t>Desarrollo</t>
  </si>
  <si>
    <t>Testing</t>
  </si>
  <si>
    <t>Historia de Usuario</t>
  </si>
  <si>
    <t>Nombre corto</t>
  </si>
  <si>
    <t>Escritura General</t>
  </si>
  <si>
    <t>Criterios de aceptacion</t>
  </si>
  <si>
    <t>Prototipos</t>
  </si>
  <si>
    <t>Total avance análisis (%)</t>
  </si>
  <si>
    <t>Back</t>
  </si>
  <si>
    <t>Front</t>
  </si>
  <si>
    <t>Integracion</t>
  </si>
  <si>
    <t>Pruebas unitarias</t>
  </si>
  <si>
    <t>Total avance desarrollo (%)</t>
  </si>
  <si>
    <t>Planeacion(CP)</t>
  </si>
  <si>
    <t>Ejecución de prueba</t>
  </si>
  <si>
    <t>Total avance testeo (%)</t>
  </si>
  <si>
    <t>Avance General            (%)</t>
  </si>
  <si>
    <t>Avance Por Sprint      (%)</t>
  </si>
  <si>
    <t>Total de avance        (%)</t>
  </si>
  <si>
    <t>E1-HU1</t>
  </si>
  <si>
    <t>Crear producto</t>
  </si>
  <si>
    <t>E1-HU2</t>
  </si>
  <si>
    <t>Consultar producto</t>
  </si>
  <si>
    <t>E1-HU3</t>
  </si>
  <si>
    <t>Modificar producto</t>
  </si>
  <si>
    <t>E1-HU4</t>
  </si>
  <si>
    <t>Desactivar producto</t>
  </si>
  <si>
    <t>E2-HU1</t>
  </si>
  <si>
    <t>Registrar lote</t>
  </si>
  <si>
    <t>E2-HU2</t>
  </si>
  <si>
    <t>Consultar inventario</t>
  </si>
  <si>
    <t>E2-HU3</t>
  </si>
  <si>
    <t>Modificar inventario</t>
  </si>
  <si>
    <t>E3-HU1</t>
  </si>
  <si>
    <t>Crear usuario</t>
  </si>
  <si>
    <t>E5-HU1</t>
  </si>
  <si>
    <t>Ingresar usuario</t>
  </si>
  <si>
    <t>E3-HU2</t>
  </si>
  <si>
    <t>Modificar usuario</t>
  </si>
  <si>
    <t>E4-HU1</t>
  </si>
  <si>
    <t>Añadir al carrito</t>
  </si>
  <si>
    <t>E4-HU2</t>
  </si>
  <si>
    <t>Pagar producto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</si>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</sst>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7.0"/>
      <color theme="1"/>
      <name val="Calibri"/>
    </font>
    <font/>
    <font>
      <b/>
      <sz val="11.0"/>
      <color theme="5"/>
      <name val="Calibri"/>
    </font>
    <font>
      <b/>
      <sz val="17.0"/>
      <color rgb="FF1F497D"/>
      <name val="Calibri"/>
    </font>
    <font>
      <b/>
      <sz val="55.0"/>
      <color rgb="FF38761D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1" numFmtId="1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6" numFmtId="1" xfId="0" applyAlignment="1" applyBorder="1" applyFont="1" applyNumberFormat="1">
      <alignment horizontal="center" shrinkToFit="0" vertical="center" wrapText="1"/>
    </xf>
    <xf borderId="5" fillId="0" fontId="7" numFmtId="1" xfId="0" applyAlignment="1" applyBorder="1" applyFont="1" applyNumberFormat="1">
      <alignment horizontal="center" shrinkToFit="0" vertical="center" wrapText="1"/>
    </xf>
    <xf borderId="5" fillId="2" fontId="8" numFmtId="1" xfId="0" applyAlignment="1" applyBorder="1" applyFill="1" applyFont="1" applyNumberForma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3" width="18.13"/>
    <col customWidth="1" min="4" max="15" width="17.88"/>
    <col customWidth="1" min="16" max="28" width="18.13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27.0" customHeight="1">
      <c r="A2" s="1"/>
      <c r="B2" s="1"/>
      <c r="C2" s="1"/>
      <c r="D2" s="4" t="s">
        <v>0</v>
      </c>
      <c r="E2" s="5"/>
      <c r="F2" s="5"/>
      <c r="G2" s="6"/>
      <c r="H2" s="4" t="s">
        <v>1</v>
      </c>
      <c r="I2" s="5"/>
      <c r="J2" s="5"/>
      <c r="K2" s="5"/>
      <c r="L2" s="6"/>
      <c r="M2" s="4" t="s">
        <v>2</v>
      </c>
      <c r="N2" s="5"/>
      <c r="O2" s="5"/>
      <c r="P2" s="6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  <row r="3" ht="27.0" customHeight="1">
      <c r="A3" s="1"/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7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8" t="s">
        <v>17</v>
      </c>
      <c r="Q3" s="8" t="s">
        <v>18</v>
      </c>
      <c r="R3" s="8" t="s">
        <v>19</v>
      </c>
      <c r="S3" s="2"/>
      <c r="T3" s="2"/>
      <c r="U3" s="2"/>
      <c r="V3" s="2"/>
      <c r="W3" s="2"/>
      <c r="X3" s="2"/>
      <c r="Y3" s="2"/>
      <c r="Z3" s="2"/>
      <c r="AA3" s="2"/>
      <c r="AB3" s="3"/>
    </row>
    <row r="4" ht="17.25" customHeight="1">
      <c r="A4" s="2"/>
      <c r="B4" s="9" t="s">
        <v>20</v>
      </c>
      <c r="C4" s="9" t="s">
        <v>21</v>
      </c>
      <c r="D4" s="9">
        <v>100.0</v>
      </c>
      <c r="E4" s="9">
        <v>100.0</v>
      </c>
      <c r="F4" s="9">
        <v>100.0</v>
      </c>
      <c r="G4" s="10">
        <f t="shared" ref="G4:G15" si="1">AVERAGE(D4:F4)</f>
        <v>100</v>
      </c>
      <c r="H4" s="9">
        <v>100.0</v>
      </c>
      <c r="I4" s="11">
        <v>100.0</v>
      </c>
      <c r="J4" s="9">
        <f t="shared" ref="J4:J15" si="2">AVERAGE(H4:I4)</f>
        <v>100</v>
      </c>
      <c r="K4" s="11">
        <v>50.0</v>
      </c>
      <c r="L4" s="10">
        <f t="shared" ref="L4:L15" si="3">AVERAGE(J4,K4)</f>
        <v>75</v>
      </c>
      <c r="M4" s="11">
        <v>0.0</v>
      </c>
      <c r="N4" s="9">
        <v>0.0</v>
      </c>
      <c r="O4" s="7">
        <f t="shared" ref="O4:O15" si="4">AVERAGE(M4:N4)</f>
        <v>0</v>
      </c>
      <c r="P4" s="12">
        <f t="shared" ref="P4:P15" si="5">AVERAGE(G4,L4,O4)</f>
        <v>58.33333333</v>
      </c>
      <c r="Q4" s="13">
        <f>AVERAGE(P4:P10)</f>
        <v>56.07142857</v>
      </c>
      <c r="R4" s="14">
        <f>AVERAGE(Q4:Q15)</f>
        <v>49.04541446</v>
      </c>
      <c r="S4" s="2"/>
      <c r="T4" s="2"/>
      <c r="U4" s="2"/>
      <c r="V4" s="2"/>
      <c r="W4" s="2"/>
      <c r="X4" s="2"/>
      <c r="Y4" s="2"/>
      <c r="Z4" s="2"/>
      <c r="AA4" s="2"/>
      <c r="AB4" s="3"/>
    </row>
    <row r="5" ht="17.25" customHeight="1">
      <c r="A5" s="2"/>
      <c r="B5" s="9" t="s">
        <v>22</v>
      </c>
      <c r="C5" s="9" t="s">
        <v>23</v>
      </c>
      <c r="D5" s="9">
        <v>100.0</v>
      </c>
      <c r="E5" s="9">
        <v>100.0</v>
      </c>
      <c r="F5" s="9">
        <v>100.0</v>
      </c>
      <c r="G5" s="10">
        <f t="shared" si="1"/>
        <v>100</v>
      </c>
      <c r="H5" s="9">
        <v>100.0</v>
      </c>
      <c r="I5" s="11">
        <v>100.0</v>
      </c>
      <c r="J5" s="9">
        <f t="shared" si="2"/>
        <v>100</v>
      </c>
      <c r="K5" s="11">
        <v>45.0</v>
      </c>
      <c r="L5" s="10">
        <f t="shared" si="3"/>
        <v>72.5</v>
      </c>
      <c r="M5" s="11">
        <v>0.0</v>
      </c>
      <c r="N5" s="9">
        <v>0.0</v>
      </c>
      <c r="O5" s="7">
        <f t="shared" si="4"/>
        <v>0</v>
      </c>
      <c r="P5" s="12">
        <f t="shared" si="5"/>
        <v>57.5</v>
      </c>
      <c r="Q5" s="15"/>
      <c r="R5" s="15"/>
      <c r="S5" s="2"/>
      <c r="T5" s="2"/>
      <c r="U5" s="2"/>
      <c r="V5" s="2"/>
      <c r="W5" s="2"/>
      <c r="X5" s="2"/>
      <c r="Y5" s="2"/>
      <c r="Z5" s="2"/>
      <c r="AA5" s="2"/>
      <c r="AB5" s="3"/>
    </row>
    <row r="6" ht="17.25" customHeight="1">
      <c r="A6" s="2"/>
      <c r="B6" s="9" t="s">
        <v>24</v>
      </c>
      <c r="C6" s="9" t="s">
        <v>25</v>
      </c>
      <c r="D6" s="9">
        <v>100.0</v>
      </c>
      <c r="E6" s="9">
        <v>100.0</v>
      </c>
      <c r="F6" s="9">
        <v>100.0</v>
      </c>
      <c r="G6" s="10">
        <f t="shared" si="1"/>
        <v>100</v>
      </c>
      <c r="H6" s="9">
        <v>100.0</v>
      </c>
      <c r="I6" s="11">
        <v>100.0</v>
      </c>
      <c r="J6" s="9">
        <f t="shared" si="2"/>
        <v>100</v>
      </c>
      <c r="K6" s="11">
        <v>30.0</v>
      </c>
      <c r="L6" s="10">
        <f t="shared" si="3"/>
        <v>65</v>
      </c>
      <c r="M6" s="11">
        <v>0.0</v>
      </c>
      <c r="N6" s="9">
        <v>0.0</v>
      </c>
      <c r="O6" s="7">
        <f t="shared" si="4"/>
        <v>0</v>
      </c>
      <c r="P6" s="12">
        <f t="shared" si="5"/>
        <v>55</v>
      </c>
      <c r="Q6" s="15"/>
      <c r="R6" s="15"/>
      <c r="S6" s="2"/>
      <c r="T6" s="2"/>
      <c r="U6" s="2"/>
      <c r="V6" s="2"/>
      <c r="W6" s="2"/>
      <c r="X6" s="2"/>
      <c r="Y6" s="2"/>
      <c r="Z6" s="2"/>
      <c r="AA6" s="2"/>
      <c r="AB6" s="3"/>
    </row>
    <row r="7" ht="17.25" customHeight="1">
      <c r="A7" s="2"/>
      <c r="B7" s="9" t="s">
        <v>26</v>
      </c>
      <c r="C7" s="9" t="s">
        <v>27</v>
      </c>
      <c r="D7" s="9">
        <v>100.0</v>
      </c>
      <c r="E7" s="9">
        <v>100.0</v>
      </c>
      <c r="F7" s="9">
        <v>100.0</v>
      </c>
      <c r="G7" s="10">
        <f t="shared" si="1"/>
        <v>100</v>
      </c>
      <c r="H7" s="9">
        <v>100.0</v>
      </c>
      <c r="I7" s="11">
        <v>100.0</v>
      </c>
      <c r="J7" s="9">
        <f t="shared" si="2"/>
        <v>100</v>
      </c>
      <c r="K7" s="11">
        <v>40.0</v>
      </c>
      <c r="L7" s="10">
        <f t="shared" si="3"/>
        <v>70</v>
      </c>
      <c r="M7" s="11">
        <v>0.0</v>
      </c>
      <c r="N7" s="9">
        <v>0.0</v>
      </c>
      <c r="O7" s="7">
        <f t="shared" si="4"/>
        <v>0</v>
      </c>
      <c r="P7" s="12">
        <f t="shared" si="5"/>
        <v>56.66666667</v>
      </c>
      <c r="Q7" s="15"/>
      <c r="R7" s="15"/>
      <c r="S7" s="2"/>
      <c r="T7" s="2"/>
      <c r="U7" s="2"/>
      <c r="V7" s="2"/>
      <c r="W7" s="2"/>
      <c r="X7" s="2"/>
      <c r="Y7" s="2"/>
      <c r="Z7" s="2"/>
      <c r="AA7" s="2"/>
      <c r="AB7" s="3"/>
    </row>
    <row r="8" ht="17.25" customHeight="1">
      <c r="A8" s="2"/>
      <c r="B8" s="9" t="s">
        <v>28</v>
      </c>
      <c r="C8" s="9" t="s">
        <v>29</v>
      </c>
      <c r="D8" s="9">
        <v>100.0</v>
      </c>
      <c r="E8" s="9">
        <v>100.0</v>
      </c>
      <c r="F8" s="9">
        <v>100.0</v>
      </c>
      <c r="G8" s="10">
        <f t="shared" si="1"/>
        <v>100</v>
      </c>
      <c r="H8" s="9">
        <v>100.0</v>
      </c>
      <c r="I8" s="11">
        <v>100.0</v>
      </c>
      <c r="J8" s="9">
        <f t="shared" si="2"/>
        <v>100</v>
      </c>
      <c r="K8" s="11">
        <v>30.0</v>
      </c>
      <c r="L8" s="10">
        <f t="shared" si="3"/>
        <v>65</v>
      </c>
      <c r="M8" s="11">
        <v>0.0</v>
      </c>
      <c r="N8" s="9">
        <v>0.0</v>
      </c>
      <c r="O8" s="7">
        <f t="shared" si="4"/>
        <v>0</v>
      </c>
      <c r="P8" s="12">
        <f t="shared" si="5"/>
        <v>55</v>
      </c>
      <c r="Q8" s="15"/>
      <c r="R8" s="15"/>
      <c r="S8" s="2"/>
      <c r="T8" s="2"/>
      <c r="U8" s="2"/>
      <c r="V8" s="2"/>
      <c r="W8" s="2"/>
      <c r="X8" s="2"/>
      <c r="Y8" s="2"/>
      <c r="Z8" s="2"/>
      <c r="AA8" s="2"/>
      <c r="AB8" s="3"/>
    </row>
    <row r="9" ht="17.25" customHeight="1">
      <c r="A9" s="2"/>
      <c r="B9" s="9" t="s">
        <v>30</v>
      </c>
      <c r="C9" s="9" t="s">
        <v>31</v>
      </c>
      <c r="D9" s="9">
        <v>100.0</v>
      </c>
      <c r="E9" s="9">
        <v>100.0</v>
      </c>
      <c r="F9" s="9">
        <v>100.0</v>
      </c>
      <c r="G9" s="10">
        <f t="shared" si="1"/>
        <v>100</v>
      </c>
      <c r="H9" s="9">
        <v>100.0</v>
      </c>
      <c r="I9" s="11">
        <v>100.0</v>
      </c>
      <c r="J9" s="9">
        <f t="shared" si="2"/>
        <v>100</v>
      </c>
      <c r="K9" s="11">
        <v>10.0</v>
      </c>
      <c r="L9" s="10">
        <f t="shared" si="3"/>
        <v>55</v>
      </c>
      <c r="M9" s="11">
        <v>0.0</v>
      </c>
      <c r="N9" s="9">
        <v>0.0</v>
      </c>
      <c r="O9" s="7">
        <f t="shared" si="4"/>
        <v>0</v>
      </c>
      <c r="P9" s="12">
        <f t="shared" si="5"/>
        <v>51.66666667</v>
      </c>
      <c r="Q9" s="15"/>
      <c r="R9" s="15"/>
      <c r="S9" s="2"/>
      <c r="T9" s="2"/>
      <c r="U9" s="2"/>
      <c r="V9" s="2"/>
      <c r="W9" s="2"/>
      <c r="X9" s="2"/>
      <c r="Y9" s="2"/>
      <c r="Z9" s="2"/>
      <c r="AA9" s="2"/>
      <c r="AB9" s="3"/>
    </row>
    <row r="10" ht="17.25" customHeight="1">
      <c r="A10" s="2"/>
      <c r="B10" s="9" t="s">
        <v>32</v>
      </c>
      <c r="C10" s="9" t="s">
        <v>33</v>
      </c>
      <c r="D10" s="9">
        <v>100.0</v>
      </c>
      <c r="E10" s="9">
        <v>100.0</v>
      </c>
      <c r="F10" s="9">
        <v>100.0</v>
      </c>
      <c r="G10" s="10">
        <f t="shared" si="1"/>
        <v>100</v>
      </c>
      <c r="H10" s="9">
        <v>100.0</v>
      </c>
      <c r="I10" s="11">
        <v>100.0</v>
      </c>
      <c r="J10" s="9">
        <f t="shared" si="2"/>
        <v>100</v>
      </c>
      <c r="K10" s="11">
        <v>50.0</v>
      </c>
      <c r="L10" s="10">
        <f t="shared" si="3"/>
        <v>75</v>
      </c>
      <c r="M10" s="11">
        <v>0.0</v>
      </c>
      <c r="N10" s="9">
        <v>0.0</v>
      </c>
      <c r="O10" s="7">
        <f t="shared" si="4"/>
        <v>0</v>
      </c>
      <c r="P10" s="12">
        <f t="shared" si="5"/>
        <v>58.33333333</v>
      </c>
      <c r="Q10" s="16"/>
      <c r="R10" s="15"/>
      <c r="S10" s="2"/>
      <c r="T10" s="2"/>
      <c r="U10" s="2"/>
      <c r="V10" s="2"/>
      <c r="W10" s="2"/>
      <c r="X10" s="2"/>
      <c r="Y10" s="2"/>
      <c r="Z10" s="2"/>
      <c r="AA10" s="2"/>
      <c r="AB10" s="3"/>
    </row>
    <row r="11" ht="17.25" customHeight="1">
      <c r="A11" s="2"/>
      <c r="B11" s="9" t="s">
        <v>34</v>
      </c>
      <c r="C11" s="9" t="s">
        <v>35</v>
      </c>
      <c r="D11" s="9">
        <v>100.0</v>
      </c>
      <c r="E11" s="9">
        <v>100.0</v>
      </c>
      <c r="F11" s="9">
        <v>100.0</v>
      </c>
      <c r="G11" s="10">
        <f t="shared" si="1"/>
        <v>100</v>
      </c>
      <c r="H11" s="9">
        <v>100.0</v>
      </c>
      <c r="I11" s="11">
        <v>100.0</v>
      </c>
      <c r="J11" s="9">
        <f t="shared" si="2"/>
        <v>100</v>
      </c>
      <c r="K11" s="11">
        <v>50.0</v>
      </c>
      <c r="L11" s="10">
        <f t="shared" si="3"/>
        <v>75</v>
      </c>
      <c r="M11" s="11">
        <v>0.0</v>
      </c>
      <c r="N11" s="9">
        <v>0.0</v>
      </c>
      <c r="O11" s="7">
        <f t="shared" si="4"/>
        <v>0</v>
      </c>
      <c r="P11" s="12">
        <f t="shared" si="5"/>
        <v>58.33333333</v>
      </c>
      <c r="Q11" s="13">
        <f>AVERAGE(P11:P12)</f>
        <v>56.25</v>
      </c>
      <c r="R11" s="15"/>
      <c r="S11" s="2"/>
      <c r="T11" s="2"/>
      <c r="U11" s="2"/>
      <c r="V11" s="2"/>
      <c r="W11" s="2"/>
      <c r="X11" s="2"/>
      <c r="Y11" s="2"/>
      <c r="Z11" s="2"/>
      <c r="AA11" s="2"/>
      <c r="AB11" s="3"/>
    </row>
    <row r="12" ht="17.25" customHeight="1">
      <c r="A12" s="2"/>
      <c r="B12" s="9" t="s">
        <v>36</v>
      </c>
      <c r="C12" s="9" t="s">
        <v>37</v>
      </c>
      <c r="D12" s="9">
        <v>100.0</v>
      </c>
      <c r="E12" s="9">
        <v>100.0</v>
      </c>
      <c r="F12" s="9">
        <v>100.0</v>
      </c>
      <c r="G12" s="10">
        <f t="shared" si="1"/>
        <v>100</v>
      </c>
      <c r="H12" s="9">
        <v>100.0</v>
      </c>
      <c r="I12" s="11">
        <v>100.0</v>
      </c>
      <c r="J12" s="9">
        <f t="shared" si="2"/>
        <v>100</v>
      </c>
      <c r="K12" s="11">
        <v>25.0</v>
      </c>
      <c r="L12" s="10">
        <f t="shared" si="3"/>
        <v>62.5</v>
      </c>
      <c r="M12" s="11">
        <v>0.0</v>
      </c>
      <c r="N12" s="9">
        <v>0.0</v>
      </c>
      <c r="O12" s="7">
        <f t="shared" si="4"/>
        <v>0</v>
      </c>
      <c r="P12" s="12">
        <f t="shared" si="5"/>
        <v>54.16666667</v>
      </c>
      <c r="Q12" s="16"/>
      <c r="R12" s="15"/>
      <c r="S12" s="2"/>
      <c r="T12" s="2"/>
      <c r="U12" s="2"/>
      <c r="V12" s="2"/>
      <c r="W12" s="2"/>
      <c r="X12" s="2"/>
      <c r="Y12" s="2"/>
      <c r="Z12" s="2"/>
      <c r="AA12" s="2"/>
      <c r="AB12" s="3"/>
    </row>
    <row r="13" ht="17.25" customHeight="1">
      <c r="A13" s="2"/>
      <c r="B13" s="9" t="s">
        <v>38</v>
      </c>
      <c r="C13" s="9" t="s">
        <v>39</v>
      </c>
      <c r="D13" s="9">
        <v>100.0</v>
      </c>
      <c r="E13" s="9">
        <v>100.0</v>
      </c>
      <c r="F13" s="9">
        <v>50.0</v>
      </c>
      <c r="G13" s="10">
        <f t="shared" si="1"/>
        <v>83.33333333</v>
      </c>
      <c r="H13" s="11">
        <v>80.0</v>
      </c>
      <c r="I13" s="11">
        <v>0.0</v>
      </c>
      <c r="J13" s="9">
        <f t="shared" si="2"/>
        <v>40</v>
      </c>
      <c r="K13" s="11">
        <v>20.0</v>
      </c>
      <c r="L13" s="10">
        <f t="shared" si="3"/>
        <v>30</v>
      </c>
      <c r="M13" s="11">
        <v>0.0</v>
      </c>
      <c r="N13" s="9">
        <v>0.0</v>
      </c>
      <c r="O13" s="7">
        <f t="shared" si="4"/>
        <v>0</v>
      </c>
      <c r="P13" s="12">
        <f t="shared" si="5"/>
        <v>37.77777778</v>
      </c>
      <c r="Q13" s="13">
        <f>AVERAGE(P13:P15)</f>
        <v>34.81481481</v>
      </c>
      <c r="R13" s="15"/>
      <c r="S13" s="2"/>
      <c r="T13" s="2"/>
      <c r="U13" s="2"/>
      <c r="V13" s="2"/>
      <c r="W13" s="2"/>
      <c r="X13" s="2"/>
      <c r="Y13" s="2"/>
      <c r="Z13" s="2"/>
      <c r="AA13" s="2"/>
      <c r="AB13" s="3"/>
    </row>
    <row r="14" ht="17.25" customHeight="1">
      <c r="A14" s="2"/>
      <c r="B14" s="9" t="s">
        <v>40</v>
      </c>
      <c r="C14" s="9" t="s">
        <v>41</v>
      </c>
      <c r="D14" s="9">
        <v>100.0</v>
      </c>
      <c r="E14" s="9">
        <v>100.0</v>
      </c>
      <c r="F14" s="9">
        <v>100.0</v>
      </c>
      <c r="G14" s="10">
        <f t="shared" si="1"/>
        <v>100</v>
      </c>
      <c r="H14" s="9">
        <v>0.0</v>
      </c>
      <c r="I14" s="11">
        <v>0.0</v>
      </c>
      <c r="J14" s="9">
        <f t="shared" si="2"/>
        <v>0</v>
      </c>
      <c r="K14" s="11">
        <v>0.0</v>
      </c>
      <c r="L14" s="10">
        <f t="shared" si="3"/>
        <v>0</v>
      </c>
      <c r="M14" s="11">
        <v>0.0</v>
      </c>
      <c r="N14" s="9">
        <v>0.0</v>
      </c>
      <c r="O14" s="7">
        <f t="shared" si="4"/>
        <v>0</v>
      </c>
      <c r="P14" s="12">
        <f t="shared" si="5"/>
        <v>33.33333333</v>
      </c>
      <c r="Q14" s="15"/>
      <c r="R14" s="15"/>
      <c r="S14" s="2"/>
      <c r="T14" s="2"/>
      <c r="U14" s="2"/>
      <c r="V14" s="2"/>
      <c r="W14" s="2"/>
      <c r="X14" s="2"/>
      <c r="Y14" s="2"/>
      <c r="Z14" s="2"/>
      <c r="AA14" s="2"/>
      <c r="AB14" s="3"/>
    </row>
    <row r="15" ht="17.25" customHeight="1">
      <c r="A15" s="2"/>
      <c r="B15" s="9" t="s">
        <v>42</v>
      </c>
      <c r="C15" s="9" t="s">
        <v>43</v>
      </c>
      <c r="D15" s="9">
        <v>100.0</v>
      </c>
      <c r="E15" s="9">
        <v>100.0</v>
      </c>
      <c r="F15" s="9">
        <v>100.0</v>
      </c>
      <c r="G15" s="10">
        <f t="shared" si="1"/>
        <v>100</v>
      </c>
      <c r="H15" s="9">
        <v>0.0</v>
      </c>
      <c r="I15" s="11">
        <v>0.0</v>
      </c>
      <c r="J15" s="9">
        <f t="shared" si="2"/>
        <v>0</v>
      </c>
      <c r="K15" s="11">
        <v>0.0</v>
      </c>
      <c r="L15" s="10">
        <f t="shared" si="3"/>
        <v>0</v>
      </c>
      <c r="M15" s="11">
        <v>0.0</v>
      </c>
      <c r="N15" s="9">
        <v>0.0</v>
      </c>
      <c r="O15" s="7">
        <f t="shared" si="4"/>
        <v>0</v>
      </c>
      <c r="P15" s="12">
        <f t="shared" si="5"/>
        <v>33.33333333</v>
      </c>
      <c r="Q15" s="16"/>
      <c r="R15" s="16"/>
      <c r="S15" s="2"/>
      <c r="T15" s="2"/>
      <c r="U15" s="2"/>
      <c r="V15" s="2"/>
      <c r="W15" s="2"/>
      <c r="X15" s="2"/>
      <c r="Y15" s="2"/>
      <c r="Z15" s="2"/>
      <c r="AA15" s="2"/>
      <c r="AB15" s="3"/>
    </row>
    <row r="16">
      <c r="J16" s="17" t="s">
        <v>44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3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3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3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3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3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3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3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3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3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3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3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3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3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3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3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3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3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3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3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3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3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3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3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3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3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3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3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3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3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3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3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3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3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3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3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3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3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3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3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3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3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3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3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3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3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3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3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3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3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3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3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3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3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3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3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3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3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3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3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3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3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3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3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3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3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3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3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3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3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3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3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3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3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3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3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3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3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3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3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3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3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3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3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3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3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3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3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3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3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3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3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3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3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3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3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3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3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3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3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3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3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3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3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3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3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3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3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3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3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3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3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3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3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3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3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3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3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3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3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3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3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3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3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3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3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3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3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3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3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3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3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3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3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3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3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3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3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3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3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3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3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3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3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3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3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3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3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3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3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3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3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3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3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3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3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3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3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3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3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3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3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3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3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3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3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3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3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3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3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3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3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3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3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3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3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3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3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3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3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3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3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3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3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3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3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3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3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3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3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3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3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3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3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3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3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3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3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3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3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3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3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3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3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3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3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3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3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3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3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3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3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3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3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3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3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3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3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3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3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3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3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3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3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3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3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3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3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3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3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3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3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3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3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3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3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3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3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3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3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3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3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3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3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3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3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3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3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3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3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3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3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3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3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3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3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3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3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3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3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3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3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3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3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3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3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3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3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3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3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3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3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3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3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3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3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3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3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3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3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3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3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3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3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3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3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3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3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3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3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3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3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3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3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3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3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3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3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3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3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3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3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3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3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3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3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3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3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3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3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3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3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3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3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3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3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3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3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3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3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3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3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3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3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3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3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3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3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3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3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3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3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3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3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3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3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3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3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3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3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3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3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3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3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3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3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3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3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3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3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3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3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3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3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3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3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3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3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3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3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3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3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3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3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3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3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3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3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3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3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3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3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3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3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3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3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3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3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3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3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3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3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3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3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3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3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3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3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3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3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3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3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3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3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3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3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3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3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3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3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3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3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3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3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3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3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3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3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3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3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3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3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3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3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3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3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3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3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3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3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3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3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3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3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3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3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3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3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3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3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3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3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3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3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3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3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3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3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3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3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3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3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3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3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3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3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3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3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3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3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3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3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3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3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3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3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3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3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3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3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3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3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3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3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3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3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3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3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3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3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3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3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3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3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3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3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3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3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3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3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3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3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3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3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3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3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3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3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3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3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3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3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3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3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3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3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3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3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3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3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3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3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3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3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3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3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3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3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3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3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3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3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3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3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3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3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3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3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3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3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3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3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3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3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3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3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3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3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3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3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3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3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3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3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3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3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3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3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3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3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3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3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3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3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3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3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3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3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3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3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3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3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3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3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3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3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3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3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3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3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3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3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3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3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3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3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3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3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3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3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3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3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3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3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3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3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3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3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3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3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3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3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3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3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3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3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3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3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3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3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3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3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3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3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3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3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3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3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3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3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3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3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3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3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3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3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3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3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3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3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3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3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3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3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3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3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3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3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3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3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3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3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3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3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3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3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3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3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3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3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3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3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3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3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3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3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3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3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3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3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3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3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3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3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3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3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3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3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3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3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3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3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3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3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3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3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3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3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3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3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3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3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3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3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3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3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3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3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3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3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3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3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3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3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3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3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3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3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3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3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3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3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3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3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3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3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3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3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3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3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3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3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3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3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3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3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3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3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3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3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3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3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3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3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3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3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3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3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3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3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3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3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3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3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3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3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3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3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3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3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3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3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3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3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3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3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3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3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3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3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3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3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3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3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3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3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3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3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3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3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3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3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3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3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3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3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3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3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3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3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3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3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3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3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3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3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3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3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3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3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3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3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3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3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3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3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3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3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3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3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3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3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3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3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3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3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3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3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3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3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3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3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3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3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3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3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3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3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3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3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3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3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3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3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3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3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3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3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3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3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3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3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3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3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3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3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3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3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3"/>
    </row>
  </sheetData>
  <mergeCells count="7">
    <mergeCell ref="D2:G2"/>
    <mergeCell ref="H2:L2"/>
    <mergeCell ref="M2:P2"/>
    <mergeCell ref="Q4:Q10"/>
    <mergeCell ref="R4:R15"/>
    <mergeCell ref="Q11:Q12"/>
    <mergeCell ref="Q13:Q15"/>
  </mergeCells>
  <drawing r:id="rId1"/>
</worksheet>
</file>