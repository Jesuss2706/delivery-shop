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Complejidad HU" sheetId="1" r:id="rId4"/>
  </sheets>
  <definedNames/>
  <calcPr/>
</workbook>
</file>

<file path=xl/sharedStrings.xml><?xml version="1.0" encoding="utf-8"?>
<sst xmlns="http://schemas.openxmlformats.org/spreadsheetml/2006/main" count="27" uniqueCount="26">
  <si>
    <t>HU Nombre Corto</t>
  </si>
  <si>
    <t>Analisis</t>
  </si>
  <si>
    <t>Diseño</t>
  </si>
  <si>
    <t>Dev</t>
  </si>
  <si>
    <t>Pruebas</t>
  </si>
  <si>
    <t>Montaje</t>
  </si>
  <si>
    <t>Total</t>
  </si>
  <si>
    <t>Crear producto</t>
  </si>
  <si>
    <t>Consultar producto</t>
  </si>
  <si>
    <t>Modificar producto</t>
  </si>
  <si>
    <t>Desactivar producto</t>
  </si>
  <si>
    <t>Consultar inventario</t>
  </si>
  <si>
    <t>Añadir lote</t>
  </si>
  <si>
    <t>Modificar inventario</t>
  </si>
  <si>
    <t>Crear usuario</t>
  </si>
  <si>
    <t>Modificar usuario</t>
  </si>
  <si>
    <t>Añadir al carrito</t>
  </si>
  <si>
    <t>Pagar producto</t>
  </si>
  <si>
    <t>Ingresar usuario</t>
  </si>
  <si>
    <t>Ver lista de orden</t>
  </si>
  <si>
    <t>Actualizar estado de la orden</t>
  </si>
  <si>
    <t>Ver detalle de orden</t>
  </si>
  <si>
    <t>Senior</t>
  </si>
  <si>
    <t>Junior</t>
  </si>
  <si>
    <t>Soporte Sen</t>
  </si>
  <si>
    <t>Soporte 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</si>
</sst>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5">
    <font>
      <sz val="11.0"/>
      <color theme="1"/>
      <name val="Arial"/>
      <scheme val="minor"/>
    </font>
    <font>
      <color theme="1"/>
      <name val="Comic Sans MS"/>
    </font>
    <font>
      <b/>
      <i/>
      <sz val="11.0"/>
      <color rgb="FF000000"/>
      <name val="Calibri"/>
    </font>
    <font>
      <b/>
      <i/>
      <color rgb="FF000000"/>
      <name val="Calibri"/>
    </font>
    <font>
      <b/>
      <i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4.5"/>
    <col customWidth="1" min="3" max="26" width="19.25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3" t="s">
        <v>7</v>
      </c>
      <c r="C4" s="2">
        <v>4.0</v>
      </c>
      <c r="D4" s="2">
        <v>3.0</v>
      </c>
      <c r="E4" s="2">
        <v>12.0</v>
      </c>
      <c r="F4" s="2">
        <v>4.0</v>
      </c>
      <c r="G4" s="2">
        <v>4.0</v>
      </c>
      <c r="H4" s="4">
        <f t="shared" ref="H4:H15" si="1">C4+D4+E4+F4+G4</f>
        <v>27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3" t="s">
        <v>8</v>
      </c>
      <c r="C5" s="2">
        <v>5.0</v>
      </c>
      <c r="D5" s="2">
        <v>6.0</v>
      </c>
      <c r="E5" s="2">
        <v>20.0</v>
      </c>
      <c r="F5" s="2">
        <v>8.0</v>
      </c>
      <c r="G5" s="2">
        <v>3.0</v>
      </c>
      <c r="H5" s="4">
        <f t="shared" si="1"/>
        <v>42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3" t="s">
        <v>9</v>
      </c>
      <c r="C6" s="2">
        <v>4.0</v>
      </c>
      <c r="D6" s="2">
        <v>4.0</v>
      </c>
      <c r="E6" s="2">
        <v>11.0</v>
      </c>
      <c r="F6" s="2">
        <v>6.0</v>
      </c>
      <c r="G6" s="2">
        <v>5.0</v>
      </c>
      <c r="H6" s="4">
        <f t="shared" si="1"/>
        <v>30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3" t="s">
        <v>10</v>
      </c>
      <c r="C7" s="2">
        <v>2.0</v>
      </c>
      <c r="D7" s="2">
        <v>2.0</v>
      </c>
      <c r="E7" s="2">
        <v>7.0</v>
      </c>
      <c r="F7" s="2">
        <v>6.0</v>
      </c>
      <c r="G7" s="2">
        <v>4.0</v>
      </c>
      <c r="H7" s="4">
        <f t="shared" si="1"/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3" t="s">
        <v>11</v>
      </c>
      <c r="C8" s="2">
        <v>5.0</v>
      </c>
      <c r="D8" s="2">
        <v>6.0</v>
      </c>
      <c r="E8" s="2">
        <v>20.0</v>
      </c>
      <c r="F8" s="2">
        <v>6.0</v>
      </c>
      <c r="G8" s="2">
        <v>6.0</v>
      </c>
      <c r="H8" s="4">
        <f t="shared" si="1"/>
        <v>43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3" t="s">
        <v>12</v>
      </c>
      <c r="C9" s="2">
        <v>4.0</v>
      </c>
      <c r="D9" s="2">
        <v>4.0</v>
      </c>
      <c r="E9" s="2">
        <v>10.0</v>
      </c>
      <c r="F9" s="2">
        <v>6.0</v>
      </c>
      <c r="G9" s="2">
        <v>5.0</v>
      </c>
      <c r="H9" s="4">
        <f t="shared" si="1"/>
        <v>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3" t="s">
        <v>13</v>
      </c>
      <c r="C10" s="2">
        <v>3.0</v>
      </c>
      <c r="D10" s="2">
        <v>4.0</v>
      </c>
      <c r="E10" s="2">
        <v>10.0</v>
      </c>
      <c r="F10" s="2">
        <v>7.0</v>
      </c>
      <c r="G10" s="2">
        <v>4.0</v>
      </c>
      <c r="H10" s="4">
        <f t="shared" si="1"/>
        <v>28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3" t="s">
        <v>14</v>
      </c>
      <c r="C11" s="2">
        <v>5.0</v>
      </c>
      <c r="D11" s="2">
        <v>5.0</v>
      </c>
      <c r="E11" s="2">
        <v>10.0</v>
      </c>
      <c r="F11" s="2">
        <v>6.0</v>
      </c>
      <c r="G11" s="2">
        <v>5.0</v>
      </c>
      <c r="H11" s="4">
        <f t="shared" si="1"/>
        <v>31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3" t="s">
        <v>15</v>
      </c>
      <c r="C12" s="2">
        <v>6.0</v>
      </c>
      <c r="D12" s="2">
        <v>5.0</v>
      </c>
      <c r="E12" s="2">
        <v>20.0</v>
      </c>
      <c r="F12" s="2">
        <v>5.0</v>
      </c>
      <c r="G12" s="2">
        <v>5.0</v>
      </c>
      <c r="H12" s="4">
        <f t="shared" si="1"/>
        <v>41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5" t="s">
        <v>16</v>
      </c>
      <c r="C13" s="2">
        <v>6.0</v>
      </c>
      <c r="D13" s="2">
        <v>5.0</v>
      </c>
      <c r="E13" s="2">
        <v>21.0</v>
      </c>
      <c r="F13" s="2">
        <v>6.0</v>
      </c>
      <c r="G13" s="2">
        <v>5.0</v>
      </c>
      <c r="H13" s="4">
        <f t="shared" si="1"/>
        <v>43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5" t="s">
        <v>17</v>
      </c>
      <c r="C14" s="2">
        <v>7.0</v>
      </c>
      <c r="D14" s="2">
        <v>7.0</v>
      </c>
      <c r="E14" s="2">
        <v>21.0</v>
      </c>
      <c r="F14" s="2">
        <v>6.0</v>
      </c>
      <c r="G14" s="2">
        <v>4.0</v>
      </c>
      <c r="H14" s="4">
        <f t="shared" si="1"/>
        <v>45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5" t="s">
        <v>18</v>
      </c>
      <c r="C15" s="2">
        <v>5.0</v>
      </c>
      <c r="D15" s="2">
        <v>5.0</v>
      </c>
      <c r="E15" s="2">
        <v>8.0</v>
      </c>
      <c r="F15" s="2">
        <v>7.0</v>
      </c>
      <c r="G15" s="2">
        <v>3.0</v>
      </c>
      <c r="H15" s="4">
        <f t="shared" si="1"/>
        <v>28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6" t="s">
        <v>19</v>
      </c>
      <c r="C16" s="2">
        <v>4.0</v>
      </c>
      <c r="D16" s="2">
        <v>4.0</v>
      </c>
      <c r="E16" s="2">
        <v>14.0</v>
      </c>
      <c r="F16" s="2">
        <v>6.0</v>
      </c>
      <c r="G16" s="2">
        <v>5.0</v>
      </c>
      <c r="H16" s="2">
        <v>33.0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6" t="s">
        <v>20</v>
      </c>
      <c r="C17" s="2">
        <v>5.0</v>
      </c>
      <c r="D17" s="2">
        <v>5.0</v>
      </c>
      <c r="E17" s="2">
        <v>18.0</v>
      </c>
      <c r="F17" s="2">
        <v>7.0</v>
      </c>
      <c r="G17" s="2">
        <v>4.0</v>
      </c>
      <c r="H17" s="2">
        <v>39.0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6" t="s">
        <v>21</v>
      </c>
      <c r="C18" s="2">
        <v>4.0</v>
      </c>
      <c r="D18" s="2">
        <v>4.0</v>
      </c>
      <c r="E18" s="2">
        <v>12.0</v>
      </c>
      <c r="F18" s="2">
        <v>5.0</v>
      </c>
      <c r="G18" s="2">
        <v>4.0</v>
      </c>
      <c r="H18" s="2">
        <v>29.0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2" t="s">
        <v>6</v>
      </c>
      <c r="C19" s="4">
        <f t="shared" ref="C19:H19" si="2">SUM(C4:C18)</f>
        <v>69</v>
      </c>
      <c r="D19" s="4">
        <f t="shared" si="2"/>
        <v>69</v>
      </c>
      <c r="E19" s="4">
        <f t="shared" si="2"/>
        <v>214</v>
      </c>
      <c r="F19" s="4">
        <f t="shared" si="2"/>
        <v>91</v>
      </c>
      <c r="G19" s="4">
        <f t="shared" si="2"/>
        <v>66</v>
      </c>
      <c r="H19" s="4">
        <f t="shared" si="2"/>
        <v>509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/>
      <c r="C20" s="8"/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9" t="s">
        <v>22</v>
      </c>
      <c r="C21" s="10">
        <f t="shared" ref="C21:H21" si="3">105000*C19</f>
        <v>7245000</v>
      </c>
      <c r="D21" s="10">
        <f t="shared" si="3"/>
        <v>7245000</v>
      </c>
      <c r="E21" s="10">
        <f t="shared" si="3"/>
        <v>22470000</v>
      </c>
      <c r="F21" s="10">
        <f t="shared" si="3"/>
        <v>9555000</v>
      </c>
      <c r="G21" s="10">
        <f t="shared" si="3"/>
        <v>6930000</v>
      </c>
      <c r="H21" s="10">
        <f t="shared" si="3"/>
        <v>53445000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11" t="s">
        <v>23</v>
      </c>
      <c r="C22" s="12">
        <f t="shared" ref="C22:H22" si="4">55000*C19</f>
        <v>3795000</v>
      </c>
      <c r="D22" s="12">
        <f t="shared" si="4"/>
        <v>3795000</v>
      </c>
      <c r="E22" s="12">
        <f t="shared" si="4"/>
        <v>11770000</v>
      </c>
      <c r="F22" s="12">
        <f t="shared" si="4"/>
        <v>5005000</v>
      </c>
      <c r="G22" s="12">
        <f t="shared" si="4"/>
        <v>3630000</v>
      </c>
      <c r="H22" s="12">
        <f t="shared" si="4"/>
        <v>27995000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1"/>
      <c r="C23" s="1"/>
      <c r="D23" s="1"/>
      <c r="E23" s="13"/>
      <c r="F23" s="1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11" t="s">
        <v>24</v>
      </c>
      <c r="C24" s="12">
        <f t="shared" ref="C24:H24" si="5">C21*15%</f>
        <v>1086750</v>
      </c>
      <c r="D24" s="12">
        <f t="shared" si="5"/>
        <v>1086750</v>
      </c>
      <c r="E24" s="12">
        <f t="shared" si="5"/>
        <v>3370500</v>
      </c>
      <c r="F24" s="12">
        <f t="shared" si="5"/>
        <v>1433250</v>
      </c>
      <c r="G24" s="12">
        <f t="shared" si="5"/>
        <v>1039500</v>
      </c>
      <c r="H24" s="12">
        <f t="shared" si="5"/>
        <v>8016750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11" t="s">
        <v>25</v>
      </c>
      <c r="C25" s="12">
        <f t="shared" ref="C25:H25" si="6">C22*15%</f>
        <v>569250</v>
      </c>
      <c r="D25" s="12">
        <f t="shared" si="6"/>
        <v>569250</v>
      </c>
      <c r="E25" s="12">
        <f t="shared" si="6"/>
        <v>1765500</v>
      </c>
      <c r="F25" s="12">
        <f t="shared" si="6"/>
        <v>750750</v>
      </c>
      <c r="G25" s="12">
        <f t="shared" si="6"/>
        <v>544500</v>
      </c>
      <c r="H25" s="12">
        <f t="shared" si="6"/>
        <v>4199250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2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2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2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2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2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2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2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2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2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2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2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2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2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2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2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2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2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2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2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2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2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2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2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2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2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2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2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2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2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2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2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2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2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2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2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2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2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2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2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2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2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2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2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2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2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2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2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2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2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2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2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2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2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2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2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2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2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2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2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2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2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2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2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2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2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2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2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2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2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2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2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2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2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2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2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2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2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2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2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2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2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2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2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2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2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2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2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2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2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2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2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2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2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2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2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2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2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2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2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2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2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2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2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2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2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2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2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2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2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2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2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2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2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2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2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2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2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2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2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2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2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2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2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2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2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2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2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2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2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2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2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2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2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2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2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2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2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2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2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2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2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2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2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2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2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2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2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2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2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2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2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2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2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2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2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2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2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2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2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2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2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2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2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2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2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2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2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2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2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2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2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2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2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2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2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2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2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2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2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2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2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2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2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2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2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2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2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2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2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2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2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2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2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2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2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2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2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2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2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2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2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2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2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2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2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2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2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2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2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2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2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2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2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2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2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2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2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2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2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2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2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2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2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2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2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2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2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2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2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2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2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2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2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2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2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2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2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2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2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2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2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2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2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2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2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2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2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2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2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2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2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2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2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2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2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2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2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2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2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2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2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2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2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2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2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2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2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2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2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2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2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2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2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2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2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2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2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2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2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2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2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2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2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2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2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2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2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2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2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2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2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2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2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2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2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2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2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2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2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2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2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2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2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2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2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2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2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2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2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2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2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2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2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2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2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2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2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2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2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2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2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2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2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2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2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2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2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2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2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2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2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2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2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2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2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2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2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2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2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2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2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2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2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2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2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2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2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2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2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2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2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2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2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2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2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2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2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2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2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2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2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2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2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2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2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2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2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2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2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2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2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2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2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2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2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2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2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2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2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2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2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2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2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2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2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2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2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2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2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2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2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2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2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2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2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2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2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2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2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2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2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2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2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2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2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2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2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2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2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2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2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2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2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2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2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2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2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2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2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2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2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2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2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2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2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2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2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2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2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2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2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2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2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2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2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2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2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2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2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2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2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2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2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2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2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2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2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2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2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2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2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2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2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2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2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2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2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2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2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2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2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2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2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2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2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2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2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2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2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2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2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2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2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2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2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2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2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2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2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2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2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2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2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2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2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2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2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2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2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2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2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2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2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2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2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2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2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2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2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2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2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2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2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2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2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2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2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2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2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2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2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2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2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2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2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2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2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2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2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2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2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2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2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2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2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2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2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2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2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2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2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2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2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2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2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2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2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2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2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2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2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2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2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2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2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2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2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2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2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2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2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2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2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2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2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2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2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2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2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2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2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2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2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2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2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2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2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2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2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2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2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2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2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2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2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2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2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2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2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2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2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2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2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2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2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2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2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2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2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2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2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2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2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2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2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2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2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2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2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2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2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2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2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2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2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2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2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2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2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2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2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2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2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2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2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2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2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2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2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2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2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2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2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2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2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2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2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2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2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2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2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2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2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2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2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2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2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2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2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2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2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2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2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2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2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2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2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2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2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2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2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2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2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2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2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2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2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2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2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2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2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2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2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2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2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2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2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2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2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2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2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2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2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2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2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2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2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2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2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2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2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2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2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2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2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2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2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2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2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2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2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2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2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2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2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2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2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2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2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2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2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2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2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2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2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2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2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2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2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2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2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2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2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2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2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2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2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2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2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2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2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2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2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2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2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2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2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2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2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2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2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2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2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2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2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2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2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2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2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2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2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2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2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2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2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2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2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2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2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2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2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2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2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2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2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2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2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2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2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2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2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2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2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2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2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2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2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2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2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2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2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2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2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2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2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2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2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2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2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22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22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22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22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22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